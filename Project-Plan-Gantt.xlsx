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<sst xmlns="http://schemas.openxmlformats.org/spreadsheetml/2006/main" count="236" uniqueCount="173">
  <si>
    <t xml:space="preserve">MWD Enterprise Cybersecurity Program — 12-Month Project Plan (Gantt Chart)</t>
  </si>
  <si>
    <t xml:space="preserve">Project Start Date (edit this cell to reschedule the entire plan):</t>
  </si>
  <si>
    <t xml:space="preserve">&lt;- input</t>
  </si>
  <si>
    <t xml:space="preserve">Durations = business days (WORKDAY calendar, no holidays). A phase's tasks cannot start until every task in the prior phase finishes (same small team runs every phase). This CPM schedule reflects task effort only - no procurement/holiday buffer - so it converges faster than a calendar-driven 12-month reporting cadence; treat the Strategy document's Section 9 as the governance calendar and this sheet as the underlying technical schedule.</t>
  </si>
  <si>
    <t xml:space="preserve">P0 Foundation</t>
  </si>
  <si>
    <t xml:space="preserve">P1 Identity/Data</t>
  </si>
  <si>
    <t xml:space="preserve">P2 Detection/Response</t>
  </si>
  <si>
    <t xml:space="preserve">P3 Cloud/OT</t>
  </si>
  <si>
    <t xml:space="preserve">P4 Optimization</t>
  </si>
  <si>
    <t xml:space="preserve">ID</t>
  </si>
  <si>
    <t xml:space="preserve">Task Name</t>
  </si>
  <si>
    <t xml:space="preserve">Phase</t>
  </si>
  <si>
    <t xml:space="preserve">Duration
(Bus. Days)</t>
  </si>
  <si>
    <t xml:space="preserve">Pred.</t>
  </si>
  <si>
    <t xml:space="preserve">Resource Names</t>
  </si>
  <si>
    <t xml:space="preserve">Deliverable</t>
  </si>
  <si>
    <t xml:space="preserve">Success Criteria</t>
  </si>
  <si>
    <t xml:space="preserve">Start Date</t>
  </si>
  <si>
    <t xml:space="preserve">Finish Date</t>
  </si>
  <si>
    <t xml:space="preserve">Phase
Code</t>
  </si>
  <si>
    <t xml:space="preserve">Prior Phase
End</t>
  </si>
  <si>
    <t xml:space="preserve">Program kickoff and governance charter</t>
  </si>
  <si>
    <t xml:space="preserve">P0 - Foundation (M1)</t>
  </si>
  <si>
    <t xml:space="preserve">CISO, Cybersecurity Manager</t>
  </si>
  <si>
    <t xml:space="preserve">Signed program charter and RACI</t>
  </si>
  <si>
    <t xml:space="preserve">Charter approved by executive sponsor</t>
  </si>
  <si>
    <t xml:space="preserve">MDR/24x7 SOC augmentation - procurement</t>
  </si>
  <si>
    <t xml:space="preserve">CISO</t>
  </si>
  <si>
    <t xml:space="preserve">Signed MDR contract (Falcon Complete/OverWatch)</t>
  </si>
  <si>
    <t xml:space="preserve">Contract executed; onboarding scheduled</t>
  </si>
  <si>
    <t xml:space="preserve">MDR onboarding and integration with CrowdStrike/QRadar</t>
  </si>
  <si>
    <t xml:space="preserve">Cybersecurity Manager, Threat Analysts</t>
  </si>
  <si>
    <t xml:space="preserve">24x7 monitoring live</t>
  </si>
  <si>
    <t xml:space="preserve">MDR provider actively triaging alerts</t>
  </si>
  <si>
    <t xml:space="preserve">Backup immutability assessment and remediation</t>
  </si>
  <si>
    <t xml:space="preserve">Network Specialist</t>
  </si>
  <si>
    <t xml:space="preserve">Immutable/air-gapped backup confirmed for Tier-1 systems</t>
  </si>
  <si>
    <t xml:space="preserve">Object-lock or air-gap verified on backup repository</t>
  </si>
  <si>
    <t xml:space="preserve">Security awareness training platform deployment</t>
  </si>
  <si>
    <t xml:space="preserve">GRC Consultants</t>
  </si>
  <si>
    <t xml:space="preserve">Awareness platform live org-wide</t>
  </si>
  <si>
    <t xml:space="preserve">100% of users enrolled; first phishing simulation scheduled</t>
  </si>
  <si>
    <t xml:space="preserve">OT/ICS security vendor assessment (Claroty/Dragos/Nozomi)</t>
  </si>
  <si>
    <t xml:space="preserve">CISO, Network Specialist</t>
  </si>
  <si>
    <t xml:space="preserve">Vendor shortlist and selection</t>
  </si>
  <si>
    <t xml:space="preserve">Vendor selected; SOW drafted</t>
  </si>
  <si>
    <t xml:space="preserve">Confirm M365 E5/Entra ID P2 licensing</t>
  </si>
  <si>
    <t xml:space="preserve">Cybersecurity Manager</t>
  </si>
  <si>
    <t xml:space="preserve">Licensing confirmation memo</t>
  </si>
  <si>
    <t xml:space="preserve">Licensing gaps identified and remediated</t>
  </si>
  <si>
    <t xml:space="preserve">Enforce phishing-resistant MFA for privileged accounts</t>
  </si>
  <si>
    <t xml:space="preserve">MFA enforced for all privileged accounts</t>
  </si>
  <si>
    <t xml:space="preserve">100% privileged account MFA coverage</t>
  </si>
  <si>
    <t xml:space="preserve">Advanced email security pilot (Proofpoint/Mimecast/Abnormal)</t>
  </si>
  <si>
    <t xml:space="preserve">P1 - Identity &amp; Data Protection (M2-3)</t>
  </si>
  <si>
    <t xml:space="preserve">Email security pilot live for high-risk mailboxes</t>
  </si>
  <si>
    <t xml:space="preserve">Pilot mailboxes protected; false-positive rate acceptable</t>
  </si>
  <si>
    <t xml:space="preserve">DLP policy design (Microsoft Purview)</t>
  </si>
  <si>
    <t xml:space="preserve">GRC Consultants, Cybersecurity Manager</t>
  </si>
  <si>
    <t xml:space="preserve">DLP policy draft</t>
  </si>
  <si>
    <t xml:space="preserve">Policy reviewed and approved by data owners</t>
  </si>
  <si>
    <t xml:space="preserve">Secrets management pilot (Vault/CyberArk Conjur)</t>
  </si>
  <si>
    <t xml:space="preserve">Secrets vaulting pilot for top 10 applications</t>
  </si>
  <si>
    <t xml:space="preserve">Pilot applications no longer use hardcoded credentials</t>
  </si>
  <si>
    <t xml:space="preserve">Advanced email security full rollout</t>
  </si>
  <si>
    <t xml:space="preserve">Email security live org-wide</t>
  </si>
  <si>
    <t xml:space="preserve">100% mailbox coverage</t>
  </si>
  <si>
    <t xml:space="preserve">DLP policy rollout</t>
  </si>
  <si>
    <t xml:space="preserve">DLP enforced across email/SharePoint/Teams/endpoint</t>
  </si>
  <si>
    <t xml:space="preserve">DLP incidents logged and triaged in SIEM</t>
  </si>
  <si>
    <t xml:space="preserve">PAM depth enhancement (JIT, session recording)</t>
  </si>
  <si>
    <t xml:space="preserve">Enhanced PAM configuration live</t>
  </si>
  <si>
    <t xml:space="preserve">100% privileged sessions recorded</t>
  </si>
  <si>
    <t xml:space="preserve">Vulnerability management platform deployment (Tenable/Rapid7)</t>
  </si>
  <si>
    <t xml:space="preserve">Cybersecurity Manager, Network Specialist</t>
  </si>
  <si>
    <t xml:space="preserve">VM platform deployed and scanning</t>
  </si>
  <si>
    <t xml:space="preserve">Full IT asset scan coverage achieved</t>
  </si>
  <si>
    <t xml:space="preserve">Vulnerability management SLA policy finalization</t>
  </si>
  <si>
    <t xml:space="preserve">CISO, GRC Consultants</t>
  </si>
  <si>
    <t xml:space="preserve">Signed VM SLA policy</t>
  </si>
  <si>
    <t xml:space="preserve">Policy signed by executive leadership</t>
  </si>
  <si>
    <t xml:space="preserve">First full vulnerability baseline report</t>
  </si>
  <si>
    <t xml:space="preserve">Baseline vulnerability report</t>
  </si>
  <si>
    <t xml:space="preserve">Report delivered to CISO</t>
  </si>
  <si>
    <t xml:space="preserve">SOAR platform deployment (Cortex XSOAR/QRadar SOAR)</t>
  </si>
  <si>
    <t xml:space="preserve">P2 - Detection &amp; Response (M4-6)</t>
  </si>
  <si>
    <t xml:space="preserve">Threat Analysts, Cybersecurity Manager</t>
  </si>
  <si>
    <t xml:space="preserve">SOAR live and integrated with QRadar</t>
  </si>
  <si>
    <t xml:space="preserve">SOAR ingesting SIEM alerts</t>
  </si>
  <si>
    <t xml:space="preserve">SOAR playbook development (phishing/isolation/IOC blocklist)</t>
  </si>
  <si>
    <t xml:space="preserve">Threat Analysts</t>
  </si>
  <si>
    <t xml:space="preserve">3 production playbooks</t>
  </si>
  <si>
    <t xml:space="preserve">Playbooks handling live Tier-1 alerts</t>
  </si>
  <si>
    <t xml:space="preserve">Threat intelligence platform integration (WaterISAC + commercial feed)</t>
  </si>
  <si>
    <t xml:space="preserve">TIP integrated into QRadar/SOAR</t>
  </si>
  <si>
    <t xml:space="preserve">IOC feed actively enriching alerts</t>
  </si>
  <si>
    <t xml:space="preserve">CASB/SSPM deployment</t>
  </si>
  <si>
    <t xml:space="preserve">SaaS posture monitoring live</t>
  </si>
  <si>
    <t xml:space="preserve">Baseline SaaS posture report delivered</t>
  </si>
  <si>
    <t xml:space="preserve">Attack surface management tool deployment</t>
  </si>
  <si>
    <t xml:space="preserve">External ASM baseline established</t>
  </si>
  <si>
    <t xml:space="preserve">Baseline external exposure report delivered</t>
  </si>
  <si>
    <t xml:space="preserve">DLP rollout completion beyond pilot</t>
  </si>
  <si>
    <t xml:space="preserve">DLP fully enforced org-wide</t>
  </si>
  <si>
    <t xml:space="preserve">All defined data categories covered</t>
  </si>
  <si>
    <t xml:space="preserve">IR plan and runbook formalization</t>
  </si>
  <si>
    <t xml:space="preserve">Signed IR plan and runbooks</t>
  </si>
  <si>
    <t xml:space="preserve">IR plan approved by executive leadership</t>
  </si>
  <si>
    <t xml:space="preserve">Retained DFIR firm contract</t>
  </si>
  <si>
    <t xml:space="preserve">Signed DFIR retainer contract</t>
  </si>
  <si>
    <t xml:space="preserve">Retainer active and contacts documented</t>
  </si>
  <si>
    <t xml:space="preserve">First tabletop exercise (ransomware scenario)</t>
  </si>
  <si>
    <t xml:space="preserve">CISO, Cybersecurity Manager, Threat Analysts</t>
  </si>
  <si>
    <t xml:space="preserve">Tabletop after-action report</t>
  </si>
  <si>
    <t xml:space="preserve">Findings documented and remediation tracked</t>
  </si>
  <si>
    <t xml:space="preserve">OT/ICS monitoring platform deployment - wave 1 sites</t>
  </si>
  <si>
    <t xml:space="preserve">P3 - Cloud &amp; OT Security (M7-9)</t>
  </si>
  <si>
    <t xml:space="preserve">Network Specialist, Threat Analysts</t>
  </si>
  <si>
    <t xml:space="preserve">OT monitoring live at wave 1 facilities</t>
  </si>
  <si>
    <t xml:space="preserve">OT asset inventory v1 delivered</t>
  </si>
  <si>
    <t xml:space="preserve">OT/ICS alert integration into QRadar</t>
  </si>
  <si>
    <t xml:space="preserve">OT alerts visible in SIEM</t>
  </si>
  <si>
    <t xml:space="preserve">OT alerts triaged through existing SOC workflow</t>
  </si>
  <si>
    <t xml:space="preserve">IT/OT segmentation project (Panorama/ISE boundary enforcement)</t>
  </si>
  <si>
    <t xml:space="preserve">Network Specialist, CISO</t>
  </si>
  <si>
    <t xml:space="preserve">Segmentation implemented at wave 1 sites</t>
  </si>
  <si>
    <t xml:space="preserve">No direct OT-to-internet paths; segmentation validated</t>
  </si>
  <si>
    <t xml:space="preserve">Vendor remote access brokered through PAM</t>
  </si>
  <si>
    <t xml:space="preserve">Vendor remote access policy enforced</t>
  </si>
  <si>
    <t xml:space="preserve">No standing VPN credentials for OT vendors</t>
  </si>
  <si>
    <t xml:space="preserve">CNAPP/CSPM deployment</t>
  </si>
  <si>
    <t xml:space="preserve">Cloud posture baseline established</t>
  </si>
  <si>
    <t xml:space="preserve">Misconfigurations tracked and remediated</t>
  </si>
  <si>
    <t xml:space="preserve">PKI/certificate lifecycle management deployment</t>
  </si>
  <si>
    <t xml:space="preserve">Certificate inventory and expiry alerting live</t>
  </si>
  <si>
    <t xml:space="preserve">Zero unplanned cert-expiry outages</t>
  </si>
  <si>
    <t xml:space="preserve">Purple team exercise</t>
  </si>
  <si>
    <t xml:space="preserve">CISO, Threat Analysts</t>
  </si>
  <si>
    <t xml:space="preserve">Purple team after-action report</t>
  </si>
  <si>
    <t xml:space="preserve">Detection gaps identified and remediated</t>
  </si>
  <si>
    <t xml:space="preserve">NIST 800-53 control validation cycle</t>
  </si>
  <si>
    <t xml:space="preserve">P4 - Optimization &amp; Assurance (M10-12)</t>
  </si>
  <si>
    <t xml:space="preserve">Control validation report</t>
  </si>
  <si>
    <t xml:space="preserve">Residual gap list produced</t>
  </si>
  <si>
    <t xml:space="preserve">CIS Controls self-assessment</t>
  </si>
  <si>
    <t xml:space="preserve">CIS self-assessment report</t>
  </si>
  <si>
    <t xml:space="preserve">Assessment scored and documented</t>
  </si>
  <si>
    <t xml:space="preserve">Quarterly access recertification</t>
  </si>
  <si>
    <t xml:space="preserve">Access recertification sign-off</t>
  </si>
  <si>
    <t xml:space="preserve">All privileged/sensitive-data roles recertified</t>
  </si>
  <si>
    <t xml:space="preserve">External penetration test (IT and OT scope)</t>
  </si>
  <si>
    <t xml:space="preserve">CISO, external pen-test firm</t>
  </si>
  <si>
    <t xml:space="preserve">Penetration test report</t>
  </si>
  <si>
    <t xml:space="preserve">Findings tracked to remediation</t>
  </si>
  <si>
    <t xml:space="preserve">Full-scale DR test including immutable backup restore</t>
  </si>
  <si>
    <t xml:space="preserve">Network Specialist, Cybersecurity Manager</t>
  </si>
  <si>
    <t xml:space="preserve">DR test after-action report</t>
  </si>
  <si>
    <t xml:space="preserve">Successful full recovery within RTO/RPO targets</t>
  </si>
  <si>
    <t xml:space="preserve">AWIA re-certification readiness check</t>
  </si>
  <si>
    <t xml:space="preserve">Readiness assessment memo</t>
  </si>
  <si>
    <t xml:space="preserve">Gaps closed prior to re-certification window</t>
  </si>
  <si>
    <t xml:space="preserve">Security program maturity review</t>
  </si>
  <si>
    <t xml:space="preserve">Program maturity report</t>
  </si>
  <si>
    <t xml:space="preserve">Maturity score improvement documented vs. baseline</t>
  </si>
  <si>
    <t xml:space="preserve">Policy review and refresh (all security policies)</t>
  </si>
  <si>
    <t xml:space="preserve">Updated policy set</t>
  </si>
  <si>
    <t xml:space="preserve">All policies reviewed within 12 months</t>
  </si>
  <si>
    <t xml:space="preserve">Board/executive annual report</t>
  </si>
  <si>
    <t xml:space="preserve">Annual report presented to leadership/board</t>
  </si>
  <si>
    <t xml:space="preserve">Report delivered and accepted</t>
  </si>
  <si>
    <t xml:space="preserve">Year 2 roadmap draft</t>
  </si>
  <si>
    <t xml:space="preserve">Year 2 roadmap document</t>
  </si>
  <si>
    <t xml:space="preserve">Roadmap approved by executive sponsor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</si>
</sst>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mm\-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808080"/>
      </patternFill>
    </fill>
    <fill>
      <patternFill patternType="solid">
        <fgColor rgb="FF9BBB59"/>
        <bgColor rgb="FF969696"/>
      </patternFill>
    </fill>
    <fill>
      <patternFill patternType="solid">
        <fgColor rgb="FFF79646"/>
        <bgColor rgb="FFFF8080"/>
      </patternFill>
    </fill>
    <fill>
      <patternFill patternType="solid">
        <fgColor rgb="FF8064A2"/>
        <bgColor rgb="FF808080"/>
      </patternFill>
    </fill>
    <fill>
      <patternFill patternType="solid">
        <fgColor rgb="FFC0504D"/>
        <bgColor rgb="FF993366"/>
      </patternFill>
    </fill>
    <fill>
      <patternFill patternType="solid">
        <fgColor rgb="FF404040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4F81BD"/>
        </patternFill>
      </fill>
    </dxf>
    <dxf>
      <fill>
        <patternFill>
          <bgColor rgb="FF9BBB59"/>
        </patternFill>
      </fill>
    </dxf>
    <dxf>
      <fill>
        <patternFill>
          <bgColor rgb="FFF79646"/>
        </patternFill>
      </fill>
    </dxf>
    <dxf>
      <fill>
        <patternFill>
          <bgColor rgb="FF8064A2"/>
        </patternFill>
      </fill>
    </dxf>
    <dxf>
      <fill>
        <patternFill>
          <bgColor rgb="FFC0504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M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1" max="7" min="7" style="0" width="32"/>
    <col collapsed="false" customWidth="true" hidden="false" outlineLevel="1" max="8" min="8" style="0" width="34"/>
    <col collapsed="false" customWidth="true" hidden="false" outlineLevel="0" max="10" min="9" style="0" width="11"/>
    <col collapsed="false" customWidth="true" hidden="true" outlineLevel="0" max="12" min="11" style="0" width="6"/>
    <col collapsed="false" customWidth="true" hidden="false" outlineLevel="0" max="24" min="13" style="0" width="4.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46.25" hidden="false" customHeight="true" outlineLevel="0" collapsed="false">
      <c r="A2" s="2" t="s">
        <v>1</v>
      </c>
      <c r="B2" s="2"/>
      <c r="C2" s="2"/>
      <c r="D2" s="2"/>
      <c r="E2" s="2"/>
      <c r="F2" s="2"/>
      <c r="G2" s="3" t="n">
        <v>46237</v>
      </c>
      <c r="H2" s="4" t="s">
        <v>2</v>
      </c>
      <c r="I2" s="5" t="s">
        <v>3</v>
      </c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30" hidden="false" customHeight="true" outlineLevel="0" collapsed="false">
      <c r="A3" s="6" t="s">
        <v>4</v>
      </c>
      <c r="B3" s="6"/>
      <c r="C3" s="7" t="s">
        <v>5</v>
      </c>
      <c r="D3" s="7"/>
      <c r="E3" s="8" t="s">
        <v>6</v>
      </c>
      <c r="F3" s="8"/>
      <c r="G3" s="9" t="s">
        <v>7</v>
      </c>
      <c r="H3" s="9"/>
      <c r="I3" s="10" t="s">
        <v>8</v>
      </c>
      <c r="J3" s="10"/>
    </row>
    <row r="4" customFormat="false" ht="30" hidden="false" customHeight="true" outlineLevel="0" collapsed="false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1" t="s">
        <v>18</v>
      </c>
      <c r="K4" s="11" t="s">
        <v>19</v>
      </c>
      <c r="L4" s="11" t="s">
        <v>20</v>
      </c>
      <c r="M4" s="12" t="n">
        <f aca="false">EDATE($G$2,COLUMN()-COLUMN($M$4))</f>
        <v>46237</v>
      </c>
      <c r="N4" s="12" t="n">
        <f aca="false">EDATE($G$2,COLUMN()-COLUMN($M$4))</f>
        <v>46268</v>
      </c>
      <c r="O4" s="12" t="n">
        <f aca="false">EDATE($G$2,COLUMN()-COLUMN($M$4))</f>
        <v>46298</v>
      </c>
      <c r="P4" s="12" t="n">
        <f aca="false">EDATE($G$2,COLUMN()-COLUMN($M$4))</f>
        <v>46329</v>
      </c>
      <c r="Q4" s="12" t="n">
        <f aca="false">EDATE($G$2,COLUMN()-COLUMN($M$4))</f>
        <v>46359</v>
      </c>
      <c r="R4" s="12" t="n">
        <f aca="false">EDATE($G$2,COLUMN()-COLUMN($M$4))</f>
        <v>46390</v>
      </c>
      <c r="S4" s="12" t="n">
        <f aca="false">EDATE($G$2,COLUMN()-COLUMN($M$4))</f>
        <v>46421</v>
      </c>
      <c r="T4" s="12" t="n">
        <f aca="false">EDATE($G$2,COLUMN()-COLUMN($M$4))</f>
        <v>46449</v>
      </c>
      <c r="U4" s="12" t="n">
        <f aca="false">EDATE($G$2,COLUMN()-COLUMN($M$4))</f>
        <v>46480</v>
      </c>
      <c r="V4" s="12" t="n">
        <f aca="false">EDATE($G$2,COLUMN()-COLUMN($M$4))</f>
        <v>46510</v>
      </c>
      <c r="W4" s="12" t="n">
        <f aca="false">EDATE($G$2,COLUMN()-COLUMN($M$4))</f>
        <v>46541</v>
      </c>
      <c r="X4" s="12" t="n">
        <f aca="false">EDATE($G$2,COLUMN()-COLUMN($M$4))</f>
        <v>46571</v>
      </c>
    </row>
    <row r="5" customFormat="false" ht="30" hidden="false" customHeight="true" outlineLevel="0" collapsed="false">
      <c r="A5" s="13" t="n">
        <v>1</v>
      </c>
      <c r="B5" s="14" t="s">
        <v>21</v>
      </c>
      <c r="C5" s="15" t="s">
        <v>22</v>
      </c>
      <c r="D5" s="13" t="n">
        <v>5</v>
      </c>
      <c r="E5" s="13"/>
      <c r="F5" s="14" t="s">
        <v>23</v>
      </c>
      <c r="G5" s="14" t="s">
        <v>24</v>
      </c>
      <c r="H5" s="14" t="s">
        <v>25</v>
      </c>
      <c r="I5" s="16" t="n">
        <f aca="false">IF(AND(E5="",L5=0),$G$2,WORKDAY(MAX(IFERROR(INDEX($J$5:$J$47,MATCH(E5,$A$5:$A$47,0)),0),L5),1))</f>
        <v>46237</v>
      </c>
      <c r="J5" s="16" t="n">
        <f aca="false">WORKDAY(I5,D5-1)</f>
        <v>46241</v>
      </c>
      <c r="K5" s="13" t="n">
        <f aca="false">MATCH(C5,{"P0 - Foundation (M1)","P1 - Identity &amp; Data Protection (M2-3)","P2 - Detection &amp; Response (M4-6)","P3 - Cloud &amp; OT Security (M7-9)","P4 - Optimization &amp; Assurance (M10-12)"},0)</f>
        <v>1</v>
      </c>
      <c r="L5" s="13" t="n">
        <f aca="false">0</f>
        <v>0</v>
      </c>
    </row>
    <row r="6" customFormat="false" ht="30" hidden="false" customHeight="true" outlineLevel="0" collapsed="false">
      <c r="A6" s="13" t="n">
        <v>2</v>
      </c>
      <c r="B6" s="14" t="s">
        <v>26</v>
      </c>
      <c r="C6" s="15" t="s">
        <v>22</v>
      </c>
      <c r="D6" s="13" t="n">
        <v>10</v>
      </c>
      <c r="E6" s="13" t="n">
        <v>1</v>
      </c>
      <c r="F6" s="14" t="s">
        <v>27</v>
      </c>
      <c r="G6" s="14" t="s">
        <v>28</v>
      </c>
      <c r="H6" s="14" t="s">
        <v>29</v>
      </c>
      <c r="I6" s="16" t="n">
        <f aca="false">IF(AND(E6="",L6=0),$G$2,WORKDAY(MAX(IFERROR(INDEX($J$5:$J$47,MATCH(E6,$A$5:$A$47,0)),0),L6),1))</f>
        <v>46244</v>
      </c>
      <c r="J6" s="16" t="n">
        <f aca="false">WORKDAY(I6,D6-1)</f>
        <v>46255</v>
      </c>
      <c r="K6" s="13" t="n">
        <f aca="false">MATCH(C6,{"P0 - Foundation (M1)","P1 - Identity &amp; Data Protection (M2-3)","P2 - Detection &amp; Response (M4-6)","P3 - Cloud &amp; OT Security (M7-9)","P4 - Optimization &amp; Assurance (M10-12)"},0)</f>
        <v>1</v>
      </c>
      <c r="L6" s="13" t="n">
        <f aca="false">0</f>
        <v>0</v>
      </c>
    </row>
    <row r="7" customFormat="false" ht="30" hidden="false" customHeight="true" outlineLevel="0" collapsed="false">
      <c r="A7" s="13" t="n">
        <v>3</v>
      </c>
      <c r="B7" s="14" t="s">
        <v>30</v>
      </c>
      <c r="C7" s="15" t="s">
        <v>22</v>
      </c>
      <c r="D7" s="13" t="n">
        <v>10</v>
      </c>
      <c r="E7" s="13" t="n">
        <v>2</v>
      </c>
      <c r="F7" s="14" t="s">
        <v>31</v>
      </c>
      <c r="G7" s="14" t="s">
        <v>32</v>
      </c>
      <c r="H7" s="14" t="s">
        <v>33</v>
      </c>
      <c r="I7" s="16" t="n">
        <f aca="false">IF(AND(E7="",L7=0),$G$2,WORKDAY(MAX(IFERROR(INDEX($J$5:$J$47,MATCH(E7,$A$5:$A$47,0)),0),L7),1))</f>
        <v>46258</v>
      </c>
      <c r="J7" s="16" t="n">
        <f aca="false">WORKDAY(I7,D7-1)</f>
        <v>46269</v>
      </c>
      <c r="K7" s="13" t="n">
        <f aca="false">MATCH(C7,{"P0 - Foundation (M1)","P1 - Identity &amp; Data Protection (M2-3)","P2 - Detection &amp; Response (M4-6)","P3 - Cloud &amp; OT Security (M7-9)","P4 - Optimization &amp; Assurance (M10-12)"},0)</f>
        <v>1</v>
      </c>
      <c r="L7" s="13" t="n">
        <f aca="false">0</f>
        <v>0</v>
      </c>
    </row>
    <row r="8" customFormat="false" ht="30" hidden="false" customHeight="true" outlineLevel="0" collapsed="false">
      <c r="A8" s="13" t="n">
        <v>4</v>
      </c>
      <c r="B8" s="14" t="s">
        <v>34</v>
      </c>
      <c r="C8" s="15" t="s">
        <v>22</v>
      </c>
      <c r="D8" s="13" t="n">
        <v>10</v>
      </c>
      <c r="E8" s="13" t="n">
        <v>1</v>
      </c>
      <c r="F8" s="14" t="s">
        <v>35</v>
      </c>
      <c r="G8" s="14" t="s">
        <v>36</v>
      </c>
      <c r="H8" s="14" t="s">
        <v>37</v>
      </c>
      <c r="I8" s="16" t="n">
        <f aca="false">IF(AND(E8="",L8=0),$G$2,WORKDAY(MAX(IFERROR(INDEX($J$5:$J$47,MATCH(E8,$A$5:$A$47,0)),0),L8),1))</f>
        <v>46244</v>
      </c>
      <c r="J8" s="16" t="n">
        <f aca="false">WORKDAY(I8,D8-1)</f>
        <v>46255</v>
      </c>
      <c r="K8" s="13" t="n">
        <f aca="false">MATCH(C8,{"P0 - Foundation (M1)","P1 - Identity &amp; Data Protection (M2-3)","P2 - Detection &amp; Response (M4-6)","P3 - Cloud &amp; OT Security (M7-9)","P4 - Optimization &amp; Assurance (M10-12)"},0)</f>
        <v>1</v>
      </c>
      <c r="L8" s="13" t="n">
        <f aca="false">0</f>
        <v>0</v>
      </c>
    </row>
    <row r="9" customFormat="false" ht="30" hidden="false" customHeight="true" outlineLevel="0" collapsed="false">
      <c r="A9" s="13" t="n">
        <v>5</v>
      </c>
      <c r="B9" s="14" t="s">
        <v>38</v>
      </c>
      <c r="C9" s="15" t="s">
        <v>22</v>
      </c>
      <c r="D9" s="13" t="n">
        <v>10</v>
      </c>
      <c r="E9" s="13" t="n">
        <v>1</v>
      </c>
      <c r="F9" s="14" t="s">
        <v>39</v>
      </c>
      <c r="G9" s="14" t="s">
        <v>40</v>
      </c>
      <c r="H9" s="14" t="s">
        <v>41</v>
      </c>
      <c r="I9" s="16" t="n">
        <f aca="false">IF(AND(E9="",L9=0),$G$2,WORKDAY(MAX(IFERROR(INDEX($J$5:$J$47,MATCH(E9,$A$5:$A$47,0)),0),L9),1))</f>
        <v>46244</v>
      </c>
      <c r="J9" s="16" t="n">
        <f aca="false">WORKDAY(I9,D9-1)</f>
        <v>46255</v>
      </c>
      <c r="K9" s="13" t="n">
        <f aca="false">MATCH(C9,{"P0 - Foundation (M1)","P1 - Identity &amp; Data Protection (M2-3)","P2 - Detection &amp; Response (M4-6)","P3 - Cloud &amp; OT Security (M7-9)","P4 - Optimization &amp; Assurance (M10-12)"},0)</f>
        <v>1</v>
      </c>
      <c r="L9" s="13" t="n">
        <f aca="false">0</f>
        <v>0</v>
      </c>
    </row>
    <row r="10" customFormat="false" ht="30" hidden="false" customHeight="true" outlineLevel="0" collapsed="false">
      <c r="A10" s="13" t="n">
        <v>6</v>
      </c>
      <c r="B10" s="14" t="s">
        <v>42</v>
      </c>
      <c r="C10" s="15" t="s">
        <v>22</v>
      </c>
      <c r="D10" s="13" t="n">
        <v>15</v>
      </c>
      <c r="E10" s="13" t="n">
        <v>1</v>
      </c>
      <c r="F10" s="14" t="s">
        <v>43</v>
      </c>
      <c r="G10" s="14" t="s">
        <v>44</v>
      </c>
      <c r="H10" s="14" t="s">
        <v>45</v>
      </c>
      <c r="I10" s="16" t="n">
        <f aca="false">IF(AND(E10="",L10=0),$G$2,WORKDAY(MAX(IFERROR(INDEX($J$5:$J$47,MATCH(E10,$A$5:$A$47,0)),0),L10),1))</f>
        <v>46244</v>
      </c>
      <c r="J10" s="16" t="n">
        <f aca="false">WORKDAY(I10,D10-1)</f>
        <v>46262</v>
      </c>
      <c r="K10" s="13" t="n">
        <f aca="false">MATCH(C10,{"P0 - Foundation (M1)","P1 - Identity &amp; Data Protection (M2-3)","P2 - Detection &amp; Response (M4-6)","P3 - Cloud &amp; OT Security (M7-9)","P4 - Optimization &amp; Assurance (M10-12)"},0)</f>
        <v>1</v>
      </c>
      <c r="L10" s="13" t="n">
        <f aca="false">0</f>
        <v>0</v>
      </c>
    </row>
    <row r="11" customFormat="false" ht="30" hidden="false" customHeight="true" outlineLevel="0" collapsed="false">
      <c r="A11" s="13" t="n">
        <v>7</v>
      </c>
      <c r="B11" s="14" t="s">
        <v>46</v>
      </c>
      <c r="C11" s="15" t="s">
        <v>22</v>
      </c>
      <c r="D11" s="13" t="n">
        <v>5</v>
      </c>
      <c r="E11" s="13" t="n">
        <v>1</v>
      </c>
      <c r="F11" s="14" t="s">
        <v>47</v>
      </c>
      <c r="G11" s="14" t="s">
        <v>48</v>
      </c>
      <c r="H11" s="14" t="s">
        <v>49</v>
      </c>
      <c r="I11" s="16" t="n">
        <f aca="false">IF(AND(E11="",L11=0),$G$2,WORKDAY(MAX(IFERROR(INDEX($J$5:$J$47,MATCH(E11,$A$5:$A$47,0)),0),L11),1))</f>
        <v>46244</v>
      </c>
      <c r="J11" s="16" t="n">
        <f aca="false">WORKDAY(I11,D11-1)</f>
        <v>46248</v>
      </c>
      <c r="K11" s="13" t="n">
        <f aca="false">MATCH(C11,{"P0 - Foundation (M1)","P1 - Identity &amp; Data Protection (M2-3)","P2 - Detection &amp; Response (M4-6)","P3 - Cloud &amp; OT Security (M7-9)","P4 - Optimization &amp; Assurance (M10-12)"},0)</f>
        <v>1</v>
      </c>
      <c r="L11" s="13" t="n">
        <f aca="false">0</f>
        <v>0</v>
      </c>
    </row>
    <row r="12" customFormat="false" ht="30" hidden="false" customHeight="true" outlineLevel="0" collapsed="false">
      <c r="A12" s="13" t="n">
        <v>8</v>
      </c>
      <c r="B12" s="14" t="s">
        <v>50</v>
      </c>
      <c r="C12" s="15" t="s">
        <v>22</v>
      </c>
      <c r="D12" s="13" t="n">
        <v>10</v>
      </c>
      <c r="E12" s="13" t="n">
        <v>7</v>
      </c>
      <c r="F12" s="14" t="s">
        <v>47</v>
      </c>
      <c r="G12" s="14" t="s">
        <v>51</v>
      </c>
      <c r="H12" s="14" t="s">
        <v>52</v>
      </c>
      <c r="I12" s="16" t="n">
        <f aca="false">IF(AND(E12="",L12=0),$G$2,WORKDAY(MAX(IFERROR(INDEX($J$5:$J$47,MATCH(E12,$A$5:$A$47,0)),0),L12),1))</f>
        <v>46251</v>
      </c>
      <c r="J12" s="16" t="n">
        <f aca="false">WORKDAY(I12,D12-1)</f>
        <v>46262</v>
      </c>
      <c r="K12" s="13" t="n">
        <f aca="false">MATCH(C12,{"P0 - Foundation (M1)","P1 - Identity &amp; Data Protection (M2-3)","P2 - Detection &amp; Response (M4-6)","P3 - Cloud &amp; OT Security (M7-9)","P4 - Optimization &amp; Assurance (M10-12)"},0)</f>
        <v>1</v>
      </c>
      <c r="L12" s="13" t="n">
        <f aca="false">0</f>
        <v>0</v>
      </c>
    </row>
    <row r="13" customFormat="false" ht="30" hidden="false" customHeight="true" outlineLevel="0" collapsed="false">
      <c r="A13" s="13" t="n">
        <v>9</v>
      </c>
      <c r="B13" s="14" t="s">
        <v>53</v>
      </c>
      <c r="C13" s="15" t="s">
        <v>54</v>
      </c>
      <c r="D13" s="13" t="n">
        <v>15</v>
      </c>
      <c r="E13" s="13" t="n">
        <v>3</v>
      </c>
      <c r="F13" s="14" t="s">
        <v>35</v>
      </c>
      <c r="G13" s="14" t="s">
        <v>55</v>
      </c>
      <c r="H13" s="14" t="s">
        <v>56</v>
      </c>
      <c r="I13" s="16" t="n">
        <f aca="false">IF(AND(E13="",L13=0),$G$2,WORKDAY(MAX(IFERROR(INDEX($J$5:$J$47,MATCH(E13,$A$5:$A$47,0)),0),L13),1))</f>
        <v>46272</v>
      </c>
      <c r="J13" s="16" t="n">
        <f aca="false">WORKDAY(I13,D13-1)</f>
        <v>46290</v>
      </c>
      <c r="K13" s="13" t="n">
        <f aca="false">MATCH(C13,{"P0 - Foundation (M1)","P1 - Identity &amp; Data Protection (M2-3)","P2 - Detection &amp; Response (M4-6)","P3 - Cloud &amp; OT Security (M7-9)","P4 - Optimization &amp; Assurance (M10-12)"},0)</f>
        <v>2</v>
      </c>
      <c r="L13" s="16" t="n">
        <f aca="false">MAX($J$5:$J$12)</f>
        <v>46269</v>
      </c>
    </row>
    <row r="14" customFormat="false" ht="30" hidden="false" customHeight="true" outlineLevel="0" collapsed="false">
      <c r="A14" s="13" t="n">
        <v>10</v>
      </c>
      <c r="B14" s="14" t="s">
        <v>57</v>
      </c>
      <c r="C14" s="15" t="s">
        <v>54</v>
      </c>
      <c r="D14" s="13" t="n">
        <v>15</v>
      </c>
      <c r="E14" s="13" t="n">
        <v>7</v>
      </c>
      <c r="F14" s="14" t="s">
        <v>58</v>
      </c>
      <c r="G14" s="14" t="s">
        <v>59</v>
      </c>
      <c r="H14" s="14" t="s">
        <v>60</v>
      </c>
      <c r="I14" s="16" t="n">
        <f aca="false">IF(AND(E14="",L14=0),$G$2,WORKDAY(MAX(IFERROR(INDEX($J$5:$J$47,MATCH(E14,$A$5:$A$47,0)),0),L14),1))</f>
        <v>46272</v>
      </c>
      <c r="J14" s="16" t="n">
        <f aca="false">WORKDAY(I14,D14-1)</f>
        <v>46290</v>
      </c>
      <c r="K14" s="13" t="n">
        <f aca="false">MATCH(C14,{"P0 - Foundation (M1)","P1 - Identity &amp; Data Protection (M2-3)","P2 - Detection &amp; Response (M4-6)","P3 - Cloud &amp; OT Security (M7-9)","P4 - Optimization &amp; Assurance (M10-12)"},0)</f>
        <v>2</v>
      </c>
      <c r="L14" s="16" t="n">
        <f aca="false">MAX($J$5:$J$12)</f>
        <v>46269</v>
      </c>
    </row>
    <row r="15" customFormat="false" ht="30" hidden="false" customHeight="true" outlineLevel="0" collapsed="false">
      <c r="A15" s="13" t="n">
        <v>11</v>
      </c>
      <c r="B15" s="14" t="s">
        <v>61</v>
      </c>
      <c r="C15" s="15" t="s">
        <v>54</v>
      </c>
      <c r="D15" s="13" t="n">
        <v>15</v>
      </c>
      <c r="E15" s="13" t="n">
        <v>8</v>
      </c>
      <c r="F15" s="14" t="s">
        <v>35</v>
      </c>
      <c r="G15" s="14" t="s">
        <v>62</v>
      </c>
      <c r="H15" s="14" t="s">
        <v>63</v>
      </c>
      <c r="I15" s="16" t="n">
        <f aca="false">IF(AND(E15="",L15=0),$G$2,WORKDAY(MAX(IFERROR(INDEX($J$5:$J$47,MATCH(E15,$A$5:$A$47,0)),0),L15),1))</f>
        <v>46272</v>
      </c>
      <c r="J15" s="16" t="n">
        <f aca="false">WORKDAY(I15,D15-1)</f>
        <v>46290</v>
      </c>
      <c r="K15" s="13" t="n">
        <f aca="false">MATCH(C15,{"P0 - Foundation (M1)","P1 - Identity &amp; Data Protection (M2-3)","P2 - Detection &amp; Response (M4-6)","P3 - Cloud &amp; OT Security (M7-9)","P4 - Optimization &amp; Assurance (M10-12)"},0)</f>
        <v>2</v>
      </c>
      <c r="L15" s="16" t="n">
        <f aca="false">MAX($J$5:$J$12)</f>
        <v>46269</v>
      </c>
    </row>
    <row r="16" customFormat="false" ht="30" hidden="false" customHeight="true" outlineLevel="0" collapsed="false">
      <c r="A16" s="13" t="n">
        <v>12</v>
      </c>
      <c r="B16" s="14" t="s">
        <v>64</v>
      </c>
      <c r="C16" s="15" t="s">
        <v>54</v>
      </c>
      <c r="D16" s="13" t="n">
        <v>10</v>
      </c>
      <c r="E16" s="13" t="n">
        <v>9</v>
      </c>
      <c r="F16" s="14" t="s">
        <v>35</v>
      </c>
      <c r="G16" s="14" t="s">
        <v>65</v>
      </c>
      <c r="H16" s="14" t="s">
        <v>66</v>
      </c>
      <c r="I16" s="16" t="n">
        <f aca="false">IF(AND(E16="",L16=0),$G$2,WORKDAY(MAX(IFERROR(INDEX($J$5:$J$47,MATCH(E16,$A$5:$A$47,0)),0),L16),1))</f>
        <v>46293</v>
      </c>
      <c r="J16" s="16" t="n">
        <f aca="false">WORKDAY(I16,D16-1)</f>
        <v>46304</v>
      </c>
      <c r="K16" s="13" t="n">
        <f aca="false">MATCH(C16,{"P0 - Foundation (M1)","P1 - Identity &amp; Data Protection (M2-3)","P2 - Detection &amp; Response (M4-6)","P3 - Cloud &amp; OT Security (M7-9)","P4 - Optimization &amp; Assurance (M10-12)"},0)</f>
        <v>2</v>
      </c>
      <c r="L16" s="16" t="n">
        <f aca="false">MAX($J$5:$J$12)</f>
        <v>46269</v>
      </c>
    </row>
    <row r="17" customFormat="false" ht="30" hidden="false" customHeight="true" outlineLevel="0" collapsed="false">
      <c r="A17" s="13" t="n">
        <v>13</v>
      </c>
      <c r="B17" s="14" t="s">
        <v>67</v>
      </c>
      <c r="C17" s="15" t="s">
        <v>54</v>
      </c>
      <c r="D17" s="13" t="n">
        <v>15</v>
      </c>
      <c r="E17" s="13" t="n">
        <v>10</v>
      </c>
      <c r="F17" s="14" t="s">
        <v>47</v>
      </c>
      <c r="G17" s="14" t="s">
        <v>68</v>
      </c>
      <c r="H17" s="14" t="s">
        <v>69</v>
      </c>
      <c r="I17" s="16" t="n">
        <f aca="false">IF(AND(E17="",L17=0),$G$2,WORKDAY(MAX(IFERROR(INDEX($J$5:$J$47,MATCH(E17,$A$5:$A$47,0)),0),L17),1))</f>
        <v>46293</v>
      </c>
      <c r="J17" s="16" t="n">
        <f aca="false">WORKDAY(I17,D17-1)</f>
        <v>46311</v>
      </c>
      <c r="K17" s="13" t="n">
        <f aca="false">MATCH(C17,{"P0 - Foundation (M1)","P1 - Identity &amp; Data Protection (M2-3)","P2 - Detection &amp; Response (M4-6)","P3 - Cloud &amp; OT Security (M7-9)","P4 - Optimization &amp; Assurance (M10-12)"},0)</f>
        <v>2</v>
      </c>
      <c r="L17" s="16" t="n">
        <f aca="false">MAX($J$5:$J$12)</f>
        <v>46269</v>
      </c>
    </row>
    <row r="18" customFormat="false" ht="30" hidden="false" customHeight="true" outlineLevel="0" collapsed="false">
      <c r="A18" s="13" t="n">
        <v>14</v>
      </c>
      <c r="B18" s="14" t="s">
        <v>70</v>
      </c>
      <c r="C18" s="15" t="s">
        <v>54</v>
      </c>
      <c r="D18" s="13" t="n">
        <v>20</v>
      </c>
      <c r="E18" s="13" t="n">
        <v>8</v>
      </c>
      <c r="F18" s="14" t="s">
        <v>47</v>
      </c>
      <c r="G18" s="14" t="s">
        <v>71</v>
      </c>
      <c r="H18" s="14" t="s">
        <v>72</v>
      </c>
      <c r="I18" s="16" t="n">
        <f aca="false">IF(AND(E18="",L18=0),$G$2,WORKDAY(MAX(IFERROR(INDEX($J$5:$J$47,MATCH(E18,$A$5:$A$47,0)),0),L18),1))</f>
        <v>46272</v>
      </c>
      <c r="J18" s="16" t="n">
        <f aca="false">WORKDAY(I18,D18-1)</f>
        <v>46297</v>
      </c>
      <c r="K18" s="13" t="n">
        <f aca="false">MATCH(C18,{"P0 - Foundation (M1)","P1 - Identity &amp; Data Protection (M2-3)","P2 - Detection &amp; Response (M4-6)","P3 - Cloud &amp; OT Security (M7-9)","P4 - Optimization &amp; Assurance (M10-12)"},0)</f>
        <v>2</v>
      </c>
      <c r="L18" s="16" t="n">
        <f aca="false">MAX($J$5:$J$12)</f>
        <v>46269</v>
      </c>
    </row>
    <row r="19" customFormat="false" ht="30" hidden="false" customHeight="true" outlineLevel="0" collapsed="false">
      <c r="A19" s="13" t="n">
        <v>15</v>
      </c>
      <c r="B19" s="14" t="s">
        <v>73</v>
      </c>
      <c r="C19" s="15" t="s">
        <v>54</v>
      </c>
      <c r="D19" s="13" t="n">
        <v>15</v>
      </c>
      <c r="E19" s="13" t="n">
        <v>7</v>
      </c>
      <c r="F19" s="14" t="s">
        <v>74</v>
      </c>
      <c r="G19" s="14" t="s">
        <v>75</v>
      </c>
      <c r="H19" s="14" t="s">
        <v>76</v>
      </c>
      <c r="I19" s="16" t="n">
        <f aca="false">IF(AND(E19="",L19=0),$G$2,WORKDAY(MAX(IFERROR(INDEX($J$5:$J$47,MATCH(E19,$A$5:$A$47,0)),0),L19),1))</f>
        <v>46272</v>
      </c>
      <c r="J19" s="16" t="n">
        <f aca="false">WORKDAY(I19,D19-1)</f>
        <v>46290</v>
      </c>
      <c r="K19" s="13" t="n">
        <f aca="false">MATCH(C19,{"P0 - Foundation (M1)","P1 - Identity &amp; Data Protection (M2-3)","P2 - Detection &amp; Response (M4-6)","P3 - Cloud &amp; OT Security (M7-9)","P4 - Optimization &amp; Assurance (M10-12)"},0)</f>
        <v>2</v>
      </c>
      <c r="L19" s="16" t="n">
        <f aca="false">MAX($J$5:$J$12)</f>
        <v>46269</v>
      </c>
    </row>
    <row r="20" customFormat="false" ht="30" hidden="false" customHeight="true" outlineLevel="0" collapsed="false">
      <c r="A20" s="13" t="n">
        <v>16</v>
      </c>
      <c r="B20" s="14" t="s">
        <v>77</v>
      </c>
      <c r="C20" s="15" t="s">
        <v>54</v>
      </c>
      <c r="D20" s="13" t="n">
        <v>10</v>
      </c>
      <c r="E20" s="13" t="n">
        <v>15</v>
      </c>
      <c r="F20" s="14" t="s">
        <v>78</v>
      </c>
      <c r="G20" s="14" t="s">
        <v>79</v>
      </c>
      <c r="H20" s="14" t="s">
        <v>80</v>
      </c>
      <c r="I20" s="16" t="n">
        <f aca="false">IF(AND(E20="",L20=0),$G$2,WORKDAY(MAX(IFERROR(INDEX($J$5:$J$47,MATCH(E20,$A$5:$A$47,0)),0),L20),1))</f>
        <v>46293</v>
      </c>
      <c r="J20" s="16" t="n">
        <f aca="false">WORKDAY(I20,D20-1)</f>
        <v>46304</v>
      </c>
      <c r="K20" s="13" t="n">
        <f aca="false">MATCH(C20,{"P0 - Foundation (M1)","P1 - Identity &amp; Data Protection (M2-3)","P2 - Detection &amp; Response (M4-6)","P3 - Cloud &amp; OT Security (M7-9)","P4 - Optimization &amp; Assurance (M10-12)"},0)</f>
        <v>2</v>
      </c>
      <c r="L20" s="16" t="n">
        <f aca="false">MAX($J$5:$J$12)</f>
        <v>46269</v>
      </c>
    </row>
    <row r="21" customFormat="false" ht="30" hidden="false" customHeight="true" outlineLevel="0" collapsed="false">
      <c r="A21" s="13" t="n">
        <v>17</v>
      </c>
      <c r="B21" s="14" t="s">
        <v>81</v>
      </c>
      <c r="C21" s="15" t="s">
        <v>54</v>
      </c>
      <c r="D21" s="13" t="n">
        <v>5</v>
      </c>
      <c r="E21" s="13" t="n">
        <v>15</v>
      </c>
      <c r="F21" s="14" t="s">
        <v>47</v>
      </c>
      <c r="G21" s="14" t="s">
        <v>82</v>
      </c>
      <c r="H21" s="14" t="s">
        <v>83</v>
      </c>
      <c r="I21" s="16" t="n">
        <f aca="false">IF(AND(E21="",L21=0),$G$2,WORKDAY(MAX(IFERROR(INDEX($J$5:$J$47,MATCH(E21,$A$5:$A$47,0)),0),L21),1))</f>
        <v>46293</v>
      </c>
      <c r="J21" s="16" t="n">
        <f aca="false">WORKDAY(I21,D21-1)</f>
        <v>46297</v>
      </c>
      <c r="K21" s="13" t="n">
        <f aca="false">MATCH(C21,{"P0 - Foundation (M1)","P1 - Identity &amp; Data Protection (M2-3)","P2 - Detection &amp; Response (M4-6)","P3 - Cloud &amp; OT Security (M7-9)","P4 - Optimization &amp; Assurance (M10-12)"},0)</f>
        <v>2</v>
      </c>
      <c r="L21" s="16" t="n">
        <f aca="false">MAX($J$5:$J$12)</f>
        <v>46269</v>
      </c>
    </row>
    <row r="22" customFormat="false" ht="30" hidden="false" customHeight="true" outlineLevel="0" collapsed="false">
      <c r="A22" s="13" t="n">
        <v>18</v>
      </c>
      <c r="B22" s="14" t="s">
        <v>84</v>
      </c>
      <c r="C22" s="15" t="s">
        <v>85</v>
      </c>
      <c r="D22" s="13" t="n">
        <v>20</v>
      </c>
      <c r="E22" s="13" t="n">
        <v>3</v>
      </c>
      <c r="F22" s="14" t="s">
        <v>86</v>
      </c>
      <c r="G22" s="14" t="s">
        <v>87</v>
      </c>
      <c r="H22" s="14" t="s">
        <v>88</v>
      </c>
      <c r="I22" s="16" t="n">
        <f aca="false">IF(AND(E22="",L22=0),$G$2,WORKDAY(MAX(IFERROR(INDEX($J$5:$J$47,MATCH(E22,$A$5:$A$47,0)),0),L22),1))</f>
        <v>46314</v>
      </c>
      <c r="J22" s="16" t="n">
        <f aca="false">WORKDAY(I22,D22-1)</f>
        <v>46339</v>
      </c>
      <c r="K22" s="13" t="n">
        <f aca="false">MATCH(C22,{"P0 - Foundation (M1)","P1 - Identity &amp; Data Protection (M2-3)","P2 - Detection &amp; Response (M4-6)","P3 - Cloud &amp; OT Security (M7-9)","P4 - Optimization &amp; Assurance (M10-12)"},0)</f>
        <v>3</v>
      </c>
      <c r="L22" s="16" t="n">
        <f aca="false">MAX($J$13:$J$21)</f>
        <v>46311</v>
      </c>
    </row>
    <row r="23" customFormat="false" ht="30" hidden="false" customHeight="true" outlineLevel="0" collapsed="false">
      <c r="A23" s="13" t="n">
        <v>19</v>
      </c>
      <c r="B23" s="14" t="s">
        <v>89</v>
      </c>
      <c r="C23" s="15" t="s">
        <v>85</v>
      </c>
      <c r="D23" s="13" t="n">
        <v>15</v>
      </c>
      <c r="E23" s="13" t="n">
        <v>18</v>
      </c>
      <c r="F23" s="14" t="s">
        <v>90</v>
      </c>
      <c r="G23" s="14" t="s">
        <v>91</v>
      </c>
      <c r="H23" s="14" t="s">
        <v>92</v>
      </c>
      <c r="I23" s="16" t="n">
        <f aca="false">IF(AND(E23="",L23=0),$G$2,WORKDAY(MAX(IFERROR(INDEX($J$5:$J$47,MATCH(E23,$A$5:$A$47,0)),0),L23),1))</f>
        <v>46342</v>
      </c>
      <c r="J23" s="16" t="n">
        <f aca="false">WORKDAY(I23,D23-1)</f>
        <v>46360</v>
      </c>
      <c r="K23" s="13" t="n">
        <f aca="false">MATCH(C23,{"P0 - Foundation (M1)","P1 - Identity &amp; Data Protection (M2-3)","P2 - Detection &amp; Response (M4-6)","P3 - Cloud &amp; OT Security (M7-9)","P4 - Optimization &amp; Assurance (M10-12)"},0)</f>
        <v>3</v>
      </c>
      <c r="L23" s="16" t="n">
        <f aca="false">MAX($J$13:$J$21)</f>
        <v>46311</v>
      </c>
    </row>
    <row r="24" customFormat="false" ht="30" hidden="false" customHeight="true" outlineLevel="0" collapsed="false">
      <c r="A24" s="13" t="n">
        <v>20</v>
      </c>
      <c r="B24" s="14" t="s">
        <v>93</v>
      </c>
      <c r="C24" s="15" t="s">
        <v>85</v>
      </c>
      <c r="D24" s="13" t="n">
        <v>15</v>
      </c>
      <c r="E24" s="13" t="n">
        <v>18</v>
      </c>
      <c r="F24" s="14" t="s">
        <v>90</v>
      </c>
      <c r="G24" s="14" t="s">
        <v>94</v>
      </c>
      <c r="H24" s="14" t="s">
        <v>95</v>
      </c>
      <c r="I24" s="16" t="n">
        <f aca="false">IF(AND(E24="",L24=0),$G$2,WORKDAY(MAX(IFERROR(INDEX($J$5:$J$47,MATCH(E24,$A$5:$A$47,0)),0),L24),1))</f>
        <v>46342</v>
      </c>
      <c r="J24" s="16" t="n">
        <f aca="false">WORKDAY(I24,D24-1)</f>
        <v>46360</v>
      </c>
      <c r="K24" s="13" t="n">
        <f aca="false">MATCH(C24,{"P0 - Foundation (M1)","P1 - Identity &amp; Data Protection (M2-3)","P2 - Detection &amp; Response (M4-6)","P3 - Cloud &amp; OT Security (M7-9)","P4 - Optimization &amp; Assurance (M10-12)"},0)</f>
        <v>3</v>
      </c>
      <c r="L24" s="16" t="n">
        <f aca="false">MAX($J$13:$J$21)</f>
        <v>46311</v>
      </c>
    </row>
    <row r="25" customFormat="false" ht="30" hidden="false" customHeight="true" outlineLevel="0" collapsed="false">
      <c r="A25" s="13" t="n">
        <v>21</v>
      </c>
      <c r="B25" s="14" t="s">
        <v>96</v>
      </c>
      <c r="C25" s="15" t="s">
        <v>85</v>
      </c>
      <c r="D25" s="13" t="n">
        <v>15</v>
      </c>
      <c r="E25" s="13" t="n">
        <v>13</v>
      </c>
      <c r="F25" s="14" t="s">
        <v>35</v>
      </c>
      <c r="G25" s="14" t="s">
        <v>97</v>
      </c>
      <c r="H25" s="14" t="s">
        <v>98</v>
      </c>
      <c r="I25" s="16" t="n">
        <f aca="false">IF(AND(E25="",L25=0),$G$2,WORKDAY(MAX(IFERROR(INDEX($J$5:$J$47,MATCH(E25,$A$5:$A$47,0)),0),L25),1))</f>
        <v>46314</v>
      </c>
      <c r="J25" s="16" t="n">
        <f aca="false">WORKDAY(I25,D25-1)</f>
        <v>46332</v>
      </c>
      <c r="K25" s="13" t="n">
        <f aca="false">MATCH(C25,{"P0 - Foundation (M1)","P1 - Identity &amp; Data Protection (M2-3)","P2 - Detection &amp; Response (M4-6)","P3 - Cloud &amp; OT Security (M7-9)","P4 - Optimization &amp; Assurance (M10-12)"},0)</f>
        <v>3</v>
      </c>
      <c r="L25" s="16" t="n">
        <f aca="false">MAX($J$13:$J$21)</f>
        <v>46311</v>
      </c>
    </row>
    <row r="26" customFormat="false" ht="30" hidden="false" customHeight="true" outlineLevel="0" collapsed="false">
      <c r="A26" s="13" t="n">
        <v>22</v>
      </c>
      <c r="B26" s="14" t="s">
        <v>99</v>
      </c>
      <c r="C26" s="15" t="s">
        <v>85</v>
      </c>
      <c r="D26" s="13" t="n">
        <v>10</v>
      </c>
      <c r="E26" s="13" t="n">
        <v>6</v>
      </c>
      <c r="F26" s="14" t="s">
        <v>35</v>
      </c>
      <c r="G26" s="14" t="s">
        <v>100</v>
      </c>
      <c r="H26" s="14" t="s">
        <v>101</v>
      </c>
      <c r="I26" s="16" t="n">
        <f aca="false">IF(AND(E26="",L26=0),$G$2,WORKDAY(MAX(IFERROR(INDEX($J$5:$J$47,MATCH(E26,$A$5:$A$47,0)),0),L26),1))</f>
        <v>46314</v>
      </c>
      <c r="J26" s="16" t="n">
        <f aca="false">WORKDAY(I26,D26-1)</f>
        <v>46325</v>
      </c>
      <c r="K26" s="13" t="n">
        <f aca="false">MATCH(C26,{"P0 - Foundation (M1)","P1 - Identity &amp; Data Protection (M2-3)","P2 - Detection &amp; Response (M4-6)","P3 - Cloud &amp; OT Security (M7-9)","P4 - Optimization &amp; Assurance (M10-12)"},0)</f>
        <v>3</v>
      </c>
      <c r="L26" s="16" t="n">
        <f aca="false">MAX($J$13:$J$21)</f>
        <v>46311</v>
      </c>
    </row>
    <row r="27" customFormat="false" ht="30" hidden="false" customHeight="true" outlineLevel="0" collapsed="false">
      <c r="A27" s="13" t="n">
        <v>23</v>
      </c>
      <c r="B27" s="14" t="s">
        <v>102</v>
      </c>
      <c r="C27" s="15" t="s">
        <v>85</v>
      </c>
      <c r="D27" s="13" t="n">
        <v>10</v>
      </c>
      <c r="E27" s="13" t="n">
        <v>13</v>
      </c>
      <c r="F27" s="14" t="s">
        <v>47</v>
      </c>
      <c r="G27" s="14" t="s">
        <v>103</v>
      </c>
      <c r="H27" s="14" t="s">
        <v>104</v>
      </c>
      <c r="I27" s="16" t="n">
        <f aca="false">IF(AND(E27="",L27=0),$G$2,WORKDAY(MAX(IFERROR(INDEX($J$5:$J$47,MATCH(E27,$A$5:$A$47,0)),0),L27),1))</f>
        <v>46314</v>
      </c>
      <c r="J27" s="16" t="n">
        <f aca="false">WORKDAY(I27,D27-1)</f>
        <v>46325</v>
      </c>
      <c r="K27" s="13" t="n">
        <f aca="false">MATCH(C27,{"P0 - Foundation (M1)","P1 - Identity &amp; Data Protection (M2-3)","P2 - Detection &amp; Response (M4-6)","P3 - Cloud &amp; OT Security (M7-9)","P4 - Optimization &amp; Assurance (M10-12)"},0)</f>
        <v>3</v>
      </c>
      <c r="L27" s="16" t="n">
        <f aca="false">MAX($J$13:$J$21)</f>
        <v>46311</v>
      </c>
    </row>
    <row r="28" customFormat="false" ht="30" hidden="false" customHeight="true" outlineLevel="0" collapsed="false">
      <c r="A28" s="13" t="n">
        <v>24</v>
      </c>
      <c r="B28" s="14" t="s">
        <v>105</v>
      </c>
      <c r="C28" s="15" t="s">
        <v>85</v>
      </c>
      <c r="D28" s="13" t="n">
        <v>15</v>
      </c>
      <c r="E28" s="13" t="n">
        <v>1</v>
      </c>
      <c r="F28" s="14" t="s">
        <v>23</v>
      </c>
      <c r="G28" s="14" t="s">
        <v>106</v>
      </c>
      <c r="H28" s="14" t="s">
        <v>107</v>
      </c>
      <c r="I28" s="16" t="n">
        <f aca="false">IF(AND(E28="",L28=0),$G$2,WORKDAY(MAX(IFERROR(INDEX($J$5:$J$47,MATCH(E28,$A$5:$A$47,0)),0),L28),1))</f>
        <v>46314</v>
      </c>
      <c r="J28" s="16" t="n">
        <f aca="false">WORKDAY(I28,D28-1)</f>
        <v>46332</v>
      </c>
      <c r="K28" s="13" t="n">
        <f aca="false">MATCH(C28,{"P0 - Foundation (M1)","P1 - Identity &amp; Data Protection (M2-3)","P2 - Detection &amp; Response (M4-6)","P3 - Cloud &amp; OT Security (M7-9)","P4 - Optimization &amp; Assurance (M10-12)"},0)</f>
        <v>3</v>
      </c>
      <c r="L28" s="16" t="n">
        <f aca="false">MAX($J$13:$J$21)</f>
        <v>46311</v>
      </c>
    </row>
    <row r="29" customFormat="false" ht="30" hidden="false" customHeight="true" outlineLevel="0" collapsed="false">
      <c r="A29" s="13" t="n">
        <v>25</v>
      </c>
      <c r="B29" s="14" t="s">
        <v>108</v>
      </c>
      <c r="C29" s="15" t="s">
        <v>85</v>
      </c>
      <c r="D29" s="13" t="n">
        <v>15</v>
      </c>
      <c r="E29" s="13" t="n">
        <v>24</v>
      </c>
      <c r="F29" s="14" t="s">
        <v>27</v>
      </c>
      <c r="G29" s="14" t="s">
        <v>109</v>
      </c>
      <c r="H29" s="14" t="s">
        <v>110</v>
      </c>
      <c r="I29" s="16" t="n">
        <f aca="false">IF(AND(E29="",L29=0),$G$2,WORKDAY(MAX(IFERROR(INDEX($J$5:$J$47,MATCH(E29,$A$5:$A$47,0)),0),L29),1))</f>
        <v>46335</v>
      </c>
      <c r="J29" s="16" t="n">
        <f aca="false">WORKDAY(I29,D29-1)</f>
        <v>46353</v>
      </c>
      <c r="K29" s="13" t="n">
        <f aca="false">MATCH(C29,{"P0 - Foundation (M1)","P1 - Identity &amp; Data Protection (M2-3)","P2 - Detection &amp; Response (M4-6)","P3 - Cloud &amp; OT Security (M7-9)","P4 - Optimization &amp; Assurance (M10-12)"},0)</f>
        <v>3</v>
      </c>
      <c r="L29" s="16" t="n">
        <f aca="false">MAX($J$13:$J$21)</f>
        <v>46311</v>
      </c>
    </row>
    <row r="30" customFormat="false" ht="30" hidden="false" customHeight="true" outlineLevel="0" collapsed="false">
      <c r="A30" s="13" t="n">
        <v>26</v>
      </c>
      <c r="B30" s="14" t="s">
        <v>111</v>
      </c>
      <c r="C30" s="15" t="s">
        <v>85</v>
      </c>
      <c r="D30" s="13" t="n">
        <v>5</v>
      </c>
      <c r="E30" s="13" t="n">
        <v>24</v>
      </c>
      <c r="F30" s="14" t="s">
        <v>112</v>
      </c>
      <c r="G30" s="14" t="s">
        <v>113</v>
      </c>
      <c r="H30" s="14" t="s">
        <v>114</v>
      </c>
      <c r="I30" s="16" t="n">
        <f aca="false">IF(AND(E30="",L30=0),$G$2,WORKDAY(MAX(IFERROR(INDEX($J$5:$J$47,MATCH(E30,$A$5:$A$47,0)),0),L30),1))</f>
        <v>46335</v>
      </c>
      <c r="J30" s="16" t="n">
        <f aca="false">WORKDAY(I30,D30-1)</f>
        <v>46339</v>
      </c>
      <c r="K30" s="13" t="n">
        <f aca="false">MATCH(C30,{"P0 - Foundation (M1)","P1 - Identity &amp; Data Protection (M2-3)","P2 - Detection &amp; Response (M4-6)","P3 - Cloud &amp; OT Security (M7-9)","P4 - Optimization &amp; Assurance (M10-12)"},0)</f>
        <v>3</v>
      </c>
      <c r="L30" s="16" t="n">
        <f aca="false">MAX($J$13:$J$21)</f>
        <v>46311</v>
      </c>
    </row>
    <row r="31" customFormat="false" ht="30" hidden="false" customHeight="true" outlineLevel="0" collapsed="false">
      <c r="A31" s="13" t="n">
        <v>27</v>
      </c>
      <c r="B31" s="14" t="s">
        <v>115</v>
      </c>
      <c r="C31" s="15" t="s">
        <v>116</v>
      </c>
      <c r="D31" s="13" t="n">
        <v>25</v>
      </c>
      <c r="E31" s="13" t="n">
        <v>6</v>
      </c>
      <c r="F31" s="14" t="s">
        <v>117</v>
      </c>
      <c r="G31" s="14" t="s">
        <v>118</v>
      </c>
      <c r="H31" s="14" t="s">
        <v>119</v>
      </c>
      <c r="I31" s="16" t="n">
        <f aca="false">IF(AND(E31="",L31=0),$G$2,WORKDAY(MAX(IFERROR(INDEX($J$5:$J$47,MATCH(E31,$A$5:$A$47,0)),0),L31),1))</f>
        <v>46363</v>
      </c>
      <c r="J31" s="16" t="n">
        <f aca="false">WORKDAY(I31,D31-1)</f>
        <v>46395</v>
      </c>
      <c r="K31" s="13" t="n">
        <f aca="false">MATCH(C31,{"P0 - Foundation (M1)","P1 - Identity &amp; Data Protection (M2-3)","P2 - Detection &amp; Response (M4-6)","P3 - Cloud &amp; OT Security (M7-9)","P4 - Optimization &amp; Assurance (M10-12)"},0)</f>
        <v>4</v>
      </c>
      <c r="L31" s="16" t="n">
        <f aca="false">MAX($J$22:$J$30)</f>
        <v>46360</v>
      </c>
    </row>
    <row r="32" customFormat="false" ht="30" hidden="false" customHeight="true" outlineLevel="0" collapsed="false">
      <c r="A32" s="13" t="n">
        <v>28</v>
      </c>
      <c r="B32" s="14" t="s">
        <v>120</v>
      </c>
      <c r="C32" s="15" t="s">
        <v>116</v>
      </c>
      <c r="D32" s="13" t="n">
        <v>10</v>
      </c>
      <c r="E32" s="13" t="n">
        <v>27</v>
      </c>
      <c r="F32" s="14" t="s">
        <v>90</v>
      </c>
      <c r="G32" s="14" t="s">
        <v>121</v>
      </c>
      <c r="H32" s="14" t="s">
        <v>122</v>
      </c>
      <c r="I32" s="16" t="n">
        <f aca="false">IF(AND(E32="",L32=0),$G$2,WORKDAY(MAX(IFERROR(INDEX($J$5:$J$47,MATCH(E32,$A$5:$A$47,0)),0),L32),1))</f>
        <v>46398</v>
      </c>
      <c r="J32" s="16" t="n">
        <f aca="false">WORKDAY(I32,D32-1)</f>
        <v>46409</v>
      </c>
      <c r="K32" s="13" t="n">
        <f aca="false">MATCH(C32,{"P0 - Foundation (M1)","P1 - Identity &amp; Data Protection (M2-3)","P2 - Detection &amp; Response (M4-6)","P3 - Cloud &amp; OT Security (M7-9)","P4 - Optimization &amp; Assurance (M10-12)"},0)</f>
        <v>4</v>
      </c>
      <c r="L32" s="16" t="n">
        <f aca="false">MAX($J$22:$J$30)</f>
        <v>46360</v>
      </c>
    </row>
    <row r="33" customFormat="false" ht="30" hidden="false" customHeight="true" outlineLevel="0" collapsed="false">
      <c r="A33" s="13" t="n">
        <v>29</v>
      </c>
      <c r="B33" s="14" t="s">
        <v>123</v>
      </c>
      <c r="C33" s="15" t="s">
        <v>116</v>
      </c>
      <c r="D33" s="13" t="n">
        <v>25</v>
      </c>
      <c r="E33" s="13" t="n">
        <v>27</v>
      </c>
      <c r="F33" s="14" t="s">
        <v>124</v>
      </c>
      <c r="G33" s="14" t="s">
        <v>125</v>
      </c>
      <c r="H33" s="14" t="s">
        <v>126</v>
      </c>
      <c r="I33" s="16" t="n">
        <f aca="false">IF(AND(E33="",L33=0),$G$2,WORKDAY(MAX(IFERROR(INDEX($J$5:$J$47,MATCH(E33,$A$5:$A$47,0)),0),L33),1))</f>
        <v>46398</v>
      </c>
      <c r="J33" s="16" t="n">
        <f aca="false">WORKDAY(I33,D33-1)</f>
        <v>46430</v>
      </c>
      <c r="K33" s="13" t="n">
        <f aca="false">MATCH(C33,{"P0 - Foundation (M1)","P1 - Identity &amp; Data Protection (M2-3)","P2 - Detection &amp; Response (M4-6)","P3 - Cloud &amp; OT Security (M7-9)","P4 - Optimization &amp; Assurance (M10-12)"},0)</f>
        <v>4</v>
      </c>
      <c r="L33" s="16" t="n">
        <f aca="false">MAX($J$22:$J$30)</f>
        <v>46360</v>
      </c>
    </row>
    <row r="34" customFormat="false" ht="30" hidden="false" customHeight="true" outlineLevel="0" collapsed="false">
      <c r="A34" s="13" t="n">
        <v>30</v>
      </c>
      <c r="B34" s="14" t="s">
        <v>127</v>
      </c>
      <c r="C34" s="15" t="s">
        <v>116</v>
      </c>
      <c r="D34" s="13" t="n">
        <v>10</v>
      </c>
      <c r="E34" s="13" t="n">
        <v>29</v>
      </c>
      <c r="F34" s="14" t="s">
        <v>35</v>
      </c>
      <c r="G34" s="14" t="s">
        <v>128</v>
      </c>
      <c r="H34" s="14" t="s">
        <v>129</v>
      </c>
      <c r="I34" s="16" t="n">
        <f aca="false">IF(AND(E34="",L34=0),$G$2,WORKDAY(MAX(IFERROR(INDEX($J$5:$J$47,MATCH(E34,$A$5:$A$47,0)),0),L34),1))</f>
        <v>46433</v>
      </c>
      <c r="J34" s="16" t="n">
        <f aca="false">WORKDAY(I34,D34-1)</f>
        <v>46444</v>
      </c>
      <c r="K34" s="13" t="n">
        <f aca="false">MATCH(C34,{"P0 - Foundation (M1)","P1 - Identity &amp; Data Protection (M2-3)","P2 - Detection &amp; Response (M4-6)","P3 - Cloud &amp; OT Security (M7-9)","P4 - Optimization &amp; Assurance (M10-12)"},0)</f>
        <v>4</v>
      </c>
      <c r="L34" s="16" t="n">
        <f aca="false">MAX($J$22:$J$30)</f>
        <v>46360</v>
      </c>
    </row>
    <row r="35" customFormat="false" ht="30" hidden="false" customHeight="true" outlineLevel="0" collapsed="false">
      <c r="A35" s="13" t="n">
        <v>31</v>
      </c>
      <c r="B35" s="14" t="s">
        <v>130</v>
      </c>
      <c r="C35" s="15" t="s">
        <v>116</v>
      </c>
      <c r="D35" s="13" t="n">
        <v>15</v>
      </c>
      <c r="E35" s="13" t="n">
        <v>21</v>
      </c>
      <c r="F35" s="14" t="s">
        <v>35</v>
      </c>
      <c r="G35" s="14" t="s">
        <v>131</v>
      </c>
      <c r="H35" s="14" t="s">
        <v>132</v>
      </c>
      <c r="I35" s="16" t="n">
        <f aca="false">IF(AND(E35="",L35=0),$G$2,WORKDAY(MAX(IFERROR(INDEX($J$5:$J$47,MATCH(E35,$A$5:$A$47,0)),0),L35),1))</f>
        <v>46363</v>
      </c>
      <c r="J35" s="16" t="n">
        <f aca="false">WORKDAY(I35,D35-1)</f>
        <v>46381</v>
      </c>
      <c r="K35" s="13" t="n">
        <f aca="false">MATCH(C35,{"P0 - Foundation (M1)","P1 - Identity &amp; Data Protection (M2-3)","P2 - Detection &amp; Response (M4-6)","P3 - Cloud &amp; OT Security (M7-9)","P4 - Optimization &amp; Assurance (M10-12)"},0)</f>
        <v>4</v>
      </c>
      <c r="L35" s="16" t="n">
        <f aca="false">MAX($J$22:$J$30)</f>
        <v>46360</v>
      </c>
    </row>
    <row r="36" customFormat="false" ht="30" hidden="false" customHeight="true" outlineLevel="0" collapsed="false">
      <c r="A36" s="13" t="n">
        <v>32</v>
      </c>
      <c r="B36" s="14" t="s">
        <v>133</v>
      </c>
      <c r="C36" s="15" t="s">
        <v>116</v>
      </c>
      <c r="D36" s="13" t="n">
        <v>15</v>
      </c>
      <c r="E36" s="13" t="n">
        <v>1</v>
      </c>
      <c r="F36" s="14" t="s">
        <v>35</v>
      </c>
      <c r="G36" s="14" t="s">
        <v>134</v>
      </c>
      <c r="H36" s="14" t="s">
        <v>135</v>
      </c>
      <c r="I36" s="16" t="n">
        <f aca="false">IF(AND(E36="",L36=0),$G$2,WORKDAY(MAX(IFERROR(INDEX($J$5:$J$47,MATCH(E36,$A$5:$A$47,0)),0),L36),1))</f>
        <v>46363</v>
      </c>
      <c r="J36" s="16" t="n">
        <f aca="false">WORKDAY(I36,D36-1)</f>
        <v>46381</v>
      </c>
      <c r="K36" s="13" t="n">
        <f aca="false">MATCH(C36,{"P0 - Foundation (M1)","P1 - Identity &amp; Data Protection (M2-3)","P2 - Detection &amp; Response (M4-6)","P3 - Cloud &amp; OT Security (M7-9)","P4 - Optimization &amp; Assurance (M10-12)"},0)</f>
        <v>4</v>
      </c>
      <c r="L36" s="16" t="n">
        <f aca="false">MAX($J$22:$J$30)</f>
        <v>46360</v>
      </c>
    </row>
    <row r="37" customFormat="false" ht="30" hidden="false" customHeight="true" outlineLevel="0" collapsed="false">
      <c r="A37" s="13" t="n">
        <v>33</v>
      </c>
      <c r="B37" s="14" t="s">
        <v>136</v>
      </c>
      <c r="C37" s="15" t="s">
        <v>116</v>
      </c>
      <c r="D37" s="13" t="n">
        <v>10</v>
      </c>
      <c r="E37" s="13" t="n">
        <v>19</v>
      </c>
      <c r="F37" s="14" t="s">
        <v>137</v>
      </c>
      <c r="G37" s="14" t="s">
        <v>138</v>
      </c>
      <c r="H37" s="14" t="s">
        <v>139</v>
      </c>
      <c r="I37" s="16" t="n">
        <f aca="false">IF(AND(E37="",L37=0),$G$2,WORKDAY(MAX(IFERROR(INDEX($J$5:$J$47,MATCH(E37,$A$5:$A$47,0)),0),L37),1))</f>
        <v>46363</v>
      </c>
      <c r="J37" s="16" t="n">
        <f aca="false">WORKDAY(I37,D37-1)</f>
        <v>46374</v>
      </c>
      <c r="K37" s="13" t="n">
        <f aca="false">MATCH(C37,{"P0 - Foundation (M1)","P1 - Identity &amp; Data Protection (M2-3)","P2 - Detection &amp; Response (M4-6)","P3 - Cloud &amp; OT Security (M7-9)","P4 - Optimization &amp; Assurance (M10-12)"},0)</f>
        <v>4</v>
      </c>
      <c r="L37" s="16" t="n">
        <f aca="false">MAX($J$22:$J$30)</f>
        <v>46360</v>
      </c>
    </row>
    <row r="38" customFormat="false" ht="30" hidden="false" customHeight="true" outlineLevel="0" collapsed="false">
      <c r="A38" s="13" t="n">
        <v>34</v>
      </c>
      <c r="B38" s="14" t="s">
        <v>140</v>
      </c>
      <c r="C38" s="15" t="s">
        <v>141</v>
      </c>
      <c r="D38" s="13" t="n">
        <v>15</v>
      </c>
      <c r="E38" s="13" t="n">
        <v>17</v>
      </c>
      <c r="F38" s="14" t="s">
        <v>39</v>
      </c>
      <c r="G38" s="14" t="s">
        <v>142</v>
      </c>
      <c r="H38" s="14" t="s">
        <v>143</v>
      </c>
      <c r="I38" s="16" t="n">
        <f aca="false">IF(AND(E38="",L38=0),$G$2,WORKDAY(MAX(IFERROR(INDEX($J$5:$J$47,MATCH(E38,$A$5:$A$47,0)),0),L38),1))</f>
        <v>46447</v>
      </c>
      <c r="J38" s="16" t="n">
        <f aca="false">WORKDAY(I38,D38-1)</f>
        <v>46465</v>
      </c>
      <c r="K38" s="13" t="n">
        <f aca="false">MATCH(C38,{"P0 - Foundation (M1)","P1 - Identity &amp; Data Protection (M2-3)","P2 - Detection &amp; Response (M4-6)","P3 - Cloud &amp; OT Security (M7-9)","P4 - Optimization &amp; Assurance (M10-12)"},0)</f>
        <v>5</v>
      </c>
      <c r="L38" s="16" t="n">
        <f aca="false">MAX($J$31:$J$37)</f>
        <v>46444</v>
      </c>
    </row>
    <row r="39" customFormat="false" ht="30" hidden="false" customHeight="true" outlineLevel="0" collapsed="false">
      <c r="A39" s="13" t="n">
        <v>35</v>
      </c>
      <c r="B39" s="14" t="s">
        <v>144</v>
      </c>
      <c r="C39" s="15" t="s">
        <v>141</v>
      </c>
      <c r="D39" s="13" t="n">
        <v>15</v>
      </c>
      <c r="E39" s="13" t="n">
        <v>34</v>
      </c>
      <c r="F39" s="14" t="s">
        <v>39</v>
      </c>
      <c r="G39" s="14" t="s">
        <v>145</v>
      </c>
      <c r="H39" s="14" t="s">
        <v>146</v>
      </c>
      <c r="I39" s="16" t="n">
        <f aca="false">IF(AND(E39="",L39=0),$G$2,WORKDAY(MAX(IFERROR(INDEX($J$5:$J$47,MATCH(E39,$A$5:$A$47,0)),0),L39),1))</f>
        <v>46468</v>
      </c>
      <c r="J39" s="16" t="n">
        <f aca="false">WORKDAY(I39,D39-1)</f>
        <v>46486</v>
      </c>
      <c r="K39" s="13" t="n">
        <f aca="false">MATCH(C39,{"P0 - Foundation (M1)","P1 - Identity &amp; Data Protection (M2-3)","P2 - Detection &amp; Response (M4-6)","P3 - Cloud &amp; OT Security (M7-9)","P4 - Optimization &amp; Assurance (M10-12)"},0)</f>
        <v>5</v>
      </c>
      <c r="L39" s="16" t="n">
        <f aca="false">MAX($J$31:$J$37)</f>
        <v>46444</v>
      </c>
    </row>
    <row r="40" customFormat="false" ht="30" hidden="false" customHeight="true" outlineLevel="0" collapsed="false">
      <c r="A40" s="13" t="n">
        <v>36</v>
      </c>
      <c r="B40" s="14" t="s">
        <v>147</v>
      </c>
      <c r="C40" s="15" t="s">
        <v>141</v>
      </c>
      <c r="D40" s="13" t="n">
        <v>10</v>
      </c>
      <c r="E40" s="13" t="n">
        <v>14</v>
      </c>
      <c r="F40" s="14" t="s">
        <v>39</v>
      </c>
      <c r="G40" s="14" t="s">
        <v>148</v>
      </c>
      <c r="H40" s="14" t="s">
        <v>149</v>
      </c>
      <c r="I40" s="16" t="n">
        <f aca="false">IF(AND(E40="",L40=0),$G$2,WORKDAY(MAX(IFERROR(INDEX($J$5:$J$47,MATCH(E40,$A$5:$A$47,0)),0),L40),1))</f>
        <v>46447</v>
      </c>
      <c r="J40" s="16" t="n">
        <f aca="false">WORKDAY(I40,D40-1)</f>
        <v>46458</v>
      </c>
      <c r="K40" s="13" t="n">
        <f aca="false">MATCH(C40,{"P0 - Foundation (M1)","P1 - Identity &amp; Data Protection (M2-3)","P2 - Detection &amp; Response (M4-6)","P3 - Cloud &amp; OT Security (M7-9)","P4 - Optimization &amp; Assurance (M10-12)"},0)</f>
        <v>5</v>
      </c>
      <c r="L40" s="16" t="n">
        <f aca="false">MAX($J$31:$J$37)</f>
        <v>46444</v>
      </c>
    </row>
    <row r="41" customFormat="false" ht="30" hidden="false" customHeight="true" outlineLevel="0" collapsed="false">
      <c r="A41" s="13" t="n">
        <v>37</v>
      </c>
      <c r="B41" s="14" t="s">
        <v>150</v>
      </c>
      <c r="C41" s="15" t="s">
        <v>141</v>
      </c>
      <c r="D41" s="13" t="n">
        <v>15</v>
      </c>
      <c r="E41" s="13" t="n">
        <v>29</v>
      </c>
      <c r="F41" s="14" t="s">
        <v>151</v>
      </c>
      <c r="G41" s="14" t="s">
        <v>152</v>
      </c>
      <c r="H41" s="14" t="s">
        <v>153</v>
      </c>
      <c r="I41" s="16" t="n">
        <f aca="false">IF(AND(E41="",L41=0),$G$2,WORKDAY(MAX(IFERROR(INDEX($J$5:$J$47,MATCH(E41,$A$5:$A$47,0)),0),L41),1))</f>
        <v>46447</v>
      </c>
      <c r="J41" s="16" t="n">
        <f aca="false">WORKDAY(I41,D41-1)</f>
        <v>46465</v>
      </c>
      <c r="K41" s="13" t="n">
        <f aca="false">MATCH(C41,{"P0 - Foundation (M1)","P1 - Identity &amp; Data Protection (M2-3)","P2 - Detection &amp; Response (M4-6)","P3 - Cloud &amp; OT Security (M7-9)","P4 - Optimization &amp; Assurance (M10-12)"},0)</f>
        <v>5</v>
      </c>
      <c r="L41" s="16" t="n">
        <f aca="false">MAX($J$31:$J$37)</f>
        <v>46444</v>
      </c>
    </row>
    <row r="42" customFormat="false" ht="30" hidden="false" customHeight="true" outlineLevel="0" collapsed="false">
      <c r="A42" s="13" t="n">
        <v>38</v>
      </c>
      <c r="B42" s="14" t="s">
        <v>154</v>
      </c>
      <c r="C42" s="15" t="s">
        <v>141</v>
      </c>
      <c r="D42" s="13" t="n">
        <v>10</v>
      </c>
      <c r="E42" s="13" t="n">
        <v>4</v>
      </c>
      <c r="F42" s="14" t="s">
        <v>155</v>
      </c>
      <c r="G42" s="14" t="s">
        <v>156</v>
      </c>
      <c r="H42" s="14" t="s">
        <v>157</v>
      </c>
      <c r="I42" s="16" t="n">
        <f aca="false">IF(AND(E42="",L42=0),$G$2,WORKDAY(MAX(IFERROR(INDEX($J$5:$J$47,MATCH(E42,$A$5:$A$47,0)),0),L42),1))</f>
        <v>46447</v>
      </c>
      <c r="J42" s="16" t="n">
        <f aca="false">WORKDAY(I42,D42-1)</f>
        <v>46458</v>
      </c>
      <c r="K42" s="13" t="n">
        <f aca="false">MATCH(C42,{"P0 - Foundation (M1)","P1 - Identity &amp; Data Protection (M2-3)","P2 - Detection &amp; Response (M4-6)","P3 - Cloud &amp; OT Security (M7-9)","P4 - Optimization &amp; Assurance (M10-12)"},0)</f>
        <v>5</v>
      </c>
      <c r="L42" s="16" t="n">
        <f aca="false">MAX($J$31:$J$37)</f>
        <v>46444</v>
      </c>
    </row>
    <row r="43" customFormat="false" ht="30" hidden="false" customHeight="true" outlineLevel="0" collapsed="false">
      <c r="A43" s="13" t="n">
        <v>39</v>
      </c>
      <c r="B43" s="14" t="s">
        <v>158</v>
      </c>
      <c r="C43" s="15" t="s">
        <v>141</v>
      </c>
      <c r="D43" s="13" t="n">
        <v>10</v>
      </c>
      <c r="E43" s="13" t="n">
        <v>34</v>
      </c>
      <c r="F43" s="14" t="s">
        <v>39</v>
      </c>
      <c r="G43" s="14" t="s">
        <v>159</v>
      </c>
      <c r="H43" s="14" t="s">
        <v>160</v>
      </c>
      <c r="I43" s="16" t="n">
        <f aca="false">IF(AND(E43="",L43=0),$G$2,WORKDAY(MAX(IFERROR(INDEX($J$5:$J$47,MATCH(E43,$A$5:$A$47,0)),0),L43),1))</f>
        <v>46468</v>
      </c>
      <c r="J43" s="16" t="n">
        <f aca="false">WORKDAY(I43,D43-1)</f>
        <v>46479</v>
      </c>
      <c r="K43" s="13" t="n">
        <f aca="false">MATCH(C43,{"P0 - Foundation (M1)","P1 - Identity &amp; Data Protection (M2-3)","P2 - Detection &amp; Response (M4-6)","P3 - Cloud &amp; OT Security (M7-9)","P4 - Optimization &amp; Assurance (M10-12)"},0)</f>
        <v>5</v>
      </c>
      <c r="L43" s="16" t="n">
        <f aca="false">MAX($J$31:$J$37)</f>
        <v>46444</v>
      </c>
    </row>
    <row r="44" customFormat="false" ht="30" hidden="false" customHeight="true" outlineLevel="0" collapsed="false">
      <c r="A44" s="13" t="n">
        <v>40</v>
      </c>
      <c r="B44" s="14" t="s">
        <v>161</v>
      </c>
      <c r="C44" s="15" t="s">
        <v>141</v>
      </c>
      <c r="D44" s="13" t="n">
        <v>10</v>
      </c>
      <c r="E44" s="13" t="n">
        <v>37</v>
      </c>
      <c r="F44" s="14" t="s">
        <v>27</v>
      </c>
      <c r="G44" s="14" t="s">
        <v>162</v>
      </c>
      <c r="H44" s="14" t="s">
        <v>163</v>
      </c>
      <c r="I44" s="16" t="n">
        <f aca="false">IF(AND(E44="",L44=0),$G$2,WORKDAY(MAX(IFERROR(INDEX($J$5:$J$47,MATCH(E44,$A$5:$A$47,0)),0),L44),1))</f>
        <v>46468</v>
      </c>
      <c r="J44" s="16" t="n">
        <f aca="false">WORKDAY(I44,D44-1)</f>
        <v>46479</v>
      </c>
      <c r="K44" s="13" t="n">
        <f aca="false">MATCH(C44,{"P0 - Foundation (M1)","P1 - Identity &amp; Data Protection (M2-3)","P2 - Detection &amp; Response (M4-6)","P3 - Cloud &amp; OT Security (M7-9)","P4 - Optimization &amp; Assurance (M10-12)"},0)</f>
        <v>5</v>
      </c>
      <c r="L44" s="16" t="n">
        <f aca="false">MAX($J$31:$J$37)</f>
        <v>46444</v>
      </c>
    </row>
    <row r="45" customFormat="false" ht="30" hidden="false" customHeight="true" outlineLevel="0" collapsed="false">
      <c r="A45" s="13" t="n">
        <v>41</v>
      </c>
      <c r="B45" s="14" t="s">
        <v>164</v>
      </c>
      <c r="C45" s="15" t="s">
        <v>141</v>
      </c>
      <c r="D45" s="13" t="n">
        <v>10</v>
      </c>
      <c r="E45" s="13" t="n">
        <v>34</v>
      </c>
      <c r="F45" s="14" t="s">
        <v>39</v>
      </c>
      <c r="G45" s="14" t="s">
        <v>165</v>
      </c>
      <c r="H45" s="14" t="s">
        <v>166</v>
      </c>
      <c r="I45" s="16" t="n">
        <f aca="false">IF(AND(E45="",L45=0),$G$2,WORKDAY(MAX(IFERROR(INDEX($J$5:$J$47,MATCH(E45,$A$5:$A$47,0)),0),L45),1))</f>
        <v>46468</v>
      </c>
      <c r="J45" s="16" t="n">
        <f aca="false">WORKDAY(I45,D45-1)</f>
        <v>46479</v>
      </c>
      <c r="K45" s="13" t="n">
        <f aca="false">MATCH(C45,{"P0 - Foundation (M1)","P1 - Identity &amp; Data Protection (M2-3)","P2 - Detection &amp; Response (M4-6)","P3 - Cloud &amp; OT Security (M7-9)","P4 - Optimization &amp; Assurance (M10-12)"},0)</f>
        <v>5</v>
      </c>
      <c r="L45" s="16" t="n">
        <f aca="false">MAX($J$31:$J$37)</f>
        <v>46444</v>
      </c>
    </row>
    <row r="46" customFormat="false" ht="30" hidden="false" customHeight="true" outlineLevel="0" collapsed="false">
      <c r="A46" s="13" t="n">
        <v>42</v>
      </c>
      <c r="B46" s="14" t="s">
        <v>167</v>
      </c>
      <c r="C46" s="15" t="s">
        <v>141</v>
      </c>
      <c r="D46" s="13" t="n">
        <v>5</v>
      </c>
      <c r="E46" s="13" t="n">
        <v>40</v>
      </c>
      <c r="F46" s="14" t="s">
        <v>27</v>
      </c>
      <c r="G46" s="14" t="s">
        <v>168</v>
      </c>
      <c r="H46" s="14" t="s">
        <v>169</v>
      </c>
      <c r="I46" s="16" t="n">
        <f aca="false">IF(AND(E46="",L46=0),$G$2,WORKDAY(MAX(IFERROR(INDEX($J$5:$J$47,MATCH(E46,$A$5:$A$47,0)),0),L46),1))</f>
        <v>46482</v>
      </c>
      <c r="J46" s="16" t="n">
        <f aca="false">WORKDAY(I46,D46-1)</f>
        <v>46486</v>
      </c>
      <c r="K46" s="13" t="n">
        <f aca="false">MATCH(C46,{"P0 - Foundation (M1)","P1 - Identity &amp; Data Protection (M2-3)","P2 - Detection &amp; Response (M4-6)","P3 - Cloud &amp; OT Security (M7-9)","P4 - Optimization &amp; Assurance (M10-12)"},0)</f>
        <v>5</v>
      </c>
      <c r="L46" s="16" t="n">
        <f aca="false">MAX($J$31:$J$37)</f>
        <v>46444</v>
      </c>
    </row>
    <row r="47" customFormat="false" ht="30" hidden="false" customHeight="true" outlineLevel="0" collapsed="false">
      <c r="A47" s="13" t="n">
        <v>43</v>
      </c>
      <c r="B47" s="14" t="s">
        <v>170</v>
      </c>
      <c r="C47" s="15" t="s">
        <v>141</v>
      </c>
      <c r="D47" s="13" t="n">
        <v>10</v>
      </c>
      <c r="E47" s="13" t="n">
        <v>40</v>
      </c>
      <c r="F47" s="14" t="s">
        <v>27</v>
      </c>
      <c r="G47" s="14" t="s">
        <v>171</v>
      </c>
      <c r="H47" s="14" t="s">
        <v>172</v>
      </c>
      <c r="I47" s="16" t="n">
        <f aca="false">IF(AND(E47="",L47=0),$G$2,WORKDAY(MAX(IFERROR(INDEX($J$5:$J$47,MATCH(E47,$A$5:$A$47,0)),0),L47),1))</f>
        <v>46482</v>
      </c>
      <c r="J47" s="16" t="n">
        <f aca="false">WORKDAY(I47,D47-1)</f>
        <v>46493</v>
      </c>
      <c r="K47" s="13" t="n">
        <f aca="false">MATCH(C47,{"P0 - Foundation (M1)","P1 - Identity &amp; Data Protection (M2-3)","P2 - Detection &amp; Response (M4-6)","P3 - Cloud &amp; OT Security (M7-9)","P4 - Optimization &amp; Assurance (M10-12)"},0)</f>
        <v>5</v>
      </c>
      <c r="L47" s="16" t="n">
        <f aca="false">MAX($J$31:$J$37)</f>
        <v>46444</v>
      </c>
    </row>
  </sheetData>
  <mergeCells count="8">
    <mergeCell ref="A1:X1"/>
    <mergeCell ref="A2:F2"/>
    <mergeCell ref="I2:S2"/>
    <mergeCell ref="A3:B3"/>
    <mergeCell ref="C3:D3"/>
    <mergeCell ref="E3:F3"/>
    <mergeCell ref="G3:H3"/>
    <mergeCell ref="I3:J3"/>
  </mergeCells>
  <conditionalFormatting sqref="M5:X47">
    <cfRule type="expression" priority="2" aboveAverage="0" equalAverage="0" bottom="0" percent="0" rank="0" text="" dxfId="0">
      <formula>AND($K5=1,M$4&lt;=$J5,EOMONTH(M$4,0)&gt;=$I5)</formula>
    </cfRule>
    <cfRule type="expression" priority="3" aboveAverage="0" equalAverage="0" bottom="0" percent="0" rank="0" text="" dxfId="1">
      <formula>AND($K5=2,M$4&lt;=$J5,EOMONTH(M$4,0)&gt;=$I5)</formula>
    </cfRule>
    <cfRule type="expression" priority="4" aboveAverage="0" equalAverage="0" bottom="0" percent="0" rank="0" text="" dxfId="2">
      <formula>AND($K5=3,M$4&lt;=$J5,EOMONTH(M$4,0)&gt;=$I5)</formula>
    </cfRule>
    <cfRule type="expression" priority="5" aboveAverage="0" equalAverage="0" bottom="0" percent="0" rank="0" text="" dxfId="3">
      <formula>AND($K5=4,M$4&lt;=$J5,EOMONTH(M$4,0)&gt;=$I5)</formula>
    </cfRule>
    <cfRule type="expression" priority="6" aboveAverage="0" equalAverage="0" bottom="0" percent="0" rank="0" text="" dxfId="4">
      <formula>AND($K5=5,M$4&lt;=$J5,EOMONTH(M$4,0)&gt;=$I5)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2026-07-28T00:14:24Z</dcterms:created>
  <dc:creator>openpyxl</dc:creator>
  <dc:description/>
  <dc:language>en-US</dc:language>
  <cp:lastModifiedBy/>
  <dcterms:modified xsi:type="dcterms:W3CDTF">2026-07-28T00:14:24Z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